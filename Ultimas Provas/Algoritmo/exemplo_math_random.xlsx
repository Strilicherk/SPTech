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66925"/>
  <xr:revisionPtr revIDLastSave="0" documentId="8_{65E23175-C969-4ADB-92E9-824DD60BD39D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numeros_aleatorios" sheetId="2" r:id="rId1"/>
    <sheet name="exemplo visual" sheetId="4" r:id="rId2"/>
    <sheet name="probabilidade ao arredonda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3" i="2"/>
  <c r="C5" i="2"/>
  <c r="D5" i="2"/>
  <c r="E5" i="2" s="1"/>
  <c r="C4" i="2"/>
  <c r="D4" i="2"/>
  <c r="E4" i="2" s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3" i="2"/>
  <c r="D3" i="2"/>
  <c r="E3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</calcChain>
</file>

<file path=xl/sharedStrings.xml><?xml version="1.0" encoding="utf-8"?>
<sst xmlns="http://schemas.openxmlformats.org/spreadsheetml/2006/main" count="57" uniqueCount="52">
  <si>
    <t>Math.random()</t>
  </si>
  <si>
    <t>Math.random() + 1</t>
  </si>
  <si>
    <t>Math.random() * 5</t>
  </si>
  <si>
    <t>Math.random() * 5 + 1</t>
  </si>
  <si>
    <t>Math.random() * 7</t>
  </si>
  <si>
    <t>Math.random() * 7 + 3</t>
  </si>
  <si>
    <t>(Math.random() * 7 + 3).toFixed(0)</t>
  </si>
  <si>
    <t>Math.random() * 10 + 3</t>
  </si>
  <si>
    <t>Descrição</t>
  </si>
  <si>
    <r>
      <rPr>
        <b/>
        <sz val="11"/>
        <color rgb="FF000000"/>
        <rFont val="Calibri"/>
        <scheme val="minor"/>
      </rPr>
      <t xml:space="preserve">Gera um número decimal aleatório entre 0 e 1
</t>
    </r>
    <r>
      <rPr>
        <sz val="11"/>
        <color rgb="FF000000"/>
        <rFont val="Calibri"/>
        <scheme val="minor"/>
      </rPr>
      <t>(nunca chega no 1!)</t>
    </r>
  </si>
  <si>
    <r>
      <rPr>
        <b/>
        <sz val="11"/>
        <color rgb="FF000000"/>
        <rFont val="Calibri"/>
        <scheme val="minor"/>
      </rPr>
      <t xml:space="preserve">Gera um número decimal aleatório entre 1 e 2
</t>
    </r>
    <r>
      <rPr>
        <sz val="11"/>
        <color rgb="FF000000"/>
        <rFont val="Calibri"/>
        <scheme val="minor"/>
      </rPr>
      <t>(nunca chega no 2!)</t>
    </r>
  </si>
  <si>
    <r>
      <rPr>
        <b/>
        <sz val="11"/>
        <color rgb="FF000000"/>
        <rFont val="Calibri"/>
        <scheme val="minor"/>
      </rPr>
      <t xml:space="preserve">Gera um número decimal aleatório entre 0 e 5
</t>
    </r>
    <r>
      <rPr>
        <sz val="11"/>
        <color rgb="FF000000"/>
        <rFont val="Calibri"/>
        <scheme val="minor"/>
      </rPr>
      <t>(nunca chega no 5!)</t>
    </r>
  </si>
  <si>
    <r>
      <rPr>
        <b/>
        <sz val="11"/>
        <color rgb="FF000000"/>
        <rFont val="Calibri"/>
        <scheme val="minor"/>
      </rPr>
      <t xml:space="preserve">Gera um número decimal aleatório entre 1 e 6
</t>
    </r>
    <r>
      <rPr>
        <sz val="11"/>
        <color rgb="FF000000"/>
        <rFont val="Calibri"/>
        <scheme val="minor"/>
      </rPr>
      <t>(nunca chega no 6!)</t>
    </r>
  </si>
  <si>
    <r>
      <rPr>
        <b/>
        <sz val="11"/>
        <color rgb="FF000000"/>
        <rFont val="Calibri"/>
        <scheme val="minor"/>
      </rPr>
      <t xml:space="preserve">Gera um número decimal aleatório entre 0 e 7
</t>
    </r>
    <r>
      <rPr>
        <sz val="11"/>
        <color rgb="FF000000"/>
        <rFont val="Calibri"/>
        <scheme val="minor"/>
      </rPr>
      <t>(nunca chega no 7!)</t>
    </r>
  </si>
  <si>
    <r>
      <rPr>
        <b/>
        <sz val="11"/>
        <color rgb="FF000000"/>
        <rFont val="Calibri"/>
        <scheme val="minor"/>
      </rPr>
      <t xml:space="preserve">Gera um número decimal aleatório entre 3 e 10 (intervalo 7)
</t>
    </r>
    <r>
      <rPr>
        <sz val="11"/>
        <color rgb="FF000000"/>
        <rFont val="Calibri"/>
        <scheme val="minor"/>
      </rPr>
      <t>(nunca chega no 10!)</t>
    </r>
  </si>
  <si>
    <r>
      <rPr>
        <b/>
        <sz val="11"/>
        <color rgb="FF000000"/>
        <rFont val="Calibri"/>
        <scheme val="minor"/>
      </rPr>
      <t xml:space="preserve">Gera um número INTEIRO aleatório entre 3 e 10 (intervalo 7)
(arredonda para o mais próximo, impacta a probabilidade das extremidades))
</t>
    </r>
    <r>
      <rPr>
        <sz val="11"/>
        <color rgb="FF000000"/>
        <rFont val="Calibri"/>
        <scheme val="minor"/>
      </rPr>
      <t>(nunca chega no 10!)</t>
    </r>
  </si>
  <si>
    <r>
      <rPr>
        <b/>
        <sz val="11"/>
        <color rgb="FF000000"/>
        <rFont val="Calibri"/>
        <scheme val="minor"/>
      </rPr>
      <t xml:space="preserve">Gera um número decimal aleatório entre 3 e 13
</t>
    </r>
    <r>
      <rPr>
        <sz val="11"/>
        <color rgb="FF000000"/>
        <rFont val="Calibri"/>
        <scheme val="minor"/>
      </rPr>
      <t>(nunca chega no 13!)</t>
    </r>
  </si>
  <si>
    <t>Mínimo</t>
  </si>
  <si>
    <t>min</t>
  </si>
  <si>
    <t>max</t>
  </si>
  <si>
    <t>intervalo</t>
  </si>
  <si>
    <t>Números Aleatórios</t>
  </si>
  <si>
    <t>Máximo</t>
  </si>
  <si>
    <t>Fórmula</t>
  </si>
  <si>
    <t>Exemplos de Funcionamento - Valor gerado vs. deslocamento de intervalo</t>
  </si>
  <si>
    <t>Gera de 0 a 0.999</t>
  </si>
  <si>
    <t>← valores originalmente gerados (0 a 0.999)</t>
  </si>
  <si>
    <t>Gera de 1 a 1.999</t>
  </si>
  <si>
    <t>deslocou  com + 1 →</t>
  </si>
  <si>
    <t>Math.random() * 10</t>
  </si>
  <si>
    <t>Gera de 0 a 9.999</t>
  </si>
  <si>
    <t>← aumentou o limite</t>
  </si>
  <si>
    <t>Math.random() * 10 + 1</t>
  </si>
  <si>
    <t>Gera de 2 a 11.999</t>
  </si>
  <si>
    <t>deslocou  com + 2 →</t>
  </si>
  <si>
    <t>Math.random() * 10 - 1</t>
  </si>
  <si>
    <t>Gera de -1 a 8.99</t>
  </si>
  <si>
    <t>← descolocou com -1 e aumentou o limite</t>
  </si>
  <si>
    <t>ARREDONDAR OS NÚMEROS, IMPACTA A PROBABILIDADE DE CAIR NAS EXTREMIDADES (1 e 4 tem menos chances)</t>
  </si>
  <si>
    <t>Possíveis sorteios</t>
  </si>
  <si>
    <t>Valor para arredondamento</t>
  </si>
  <si>
    <t>&lt; 1.5</t>
  </si>
  <si>
    <t>&gt;= 1.5 &amp;&amp; &lt; 2.5</t>
  </si>
  <si>
    <t>&gt;= 2.5 &amp;&amp; &lt; 3.5</t>
  </si>
  <si>
    <t>&gt;= 3.5</t>
  </si>
  <si>
    <t>Probabilidade de cair</t>
  </si>
  <si>
    <t>0.49 de probabilidade</t>
  </si>
  <si>
    <t>0.99 de probabilidade</t>
  </si>
  <si>
    <t>0.50 de probabilidade</t>
  </si>
  <si>
    <t>Em relação as extremidades, os valores 2 e 3 tem maior probabilidade de serem sorteados (tem 2x a chance)</t>
  </si>
  <si>
    <r>
      <rPr>
        <sz val="11"/>
        <color rgb="FF000000"/>
        <rFont val="Calibri"/>
        <scheme val="minor"/>
      </rPr>
      <t xml:space="preserve">Por isso, </t>
    </r>
    <r>
      <rPr>
        <b/>
        <i/>
        <sz val="11"/>
        <color rgb="FF000000"/>
        <rFont val="Calibri"/>
        <scheme val="minor"/>
      </rPr>
      <t>NÃO SE DEVE ARREDONDAR NÚMEROS SORTEADOS ALEATORIAMENTE</t>
    </r>
  </si>
  <si>
    <t>VEREMOS COMO RESOLVER EM SALA, NAS PRÓXIMAS AULAS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</si>
</sst>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i/>
      <sz val="11"/>
      <color rgb="FF000000"/>
      <name val="Calibri"/>
      <scheme val="minor"/>
    </font>
    <font>
      <b/>
      <sz val="11"/>
      <color theme="4" tint="-0.249977111117893"/>
      <name val="Calibri"/>
      <scheme val="minor"/>
    </font>
    <font>
      <b/>
      <sz val="11"/>
      <color theme="4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0000"/>
      </left>
      <right/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" fillId="3" borderId="6" xfId="0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/>
    <xf numFmtId="0" fontId="0" fillId="6" borderId="10" xfId="0" applyFill="1" applyBorder="1"/>
    <xf numFmtId="0" fontId="0" fillId="8" borderId="10" xfId="0" applyFill="1" applyBorder="1"/>
    <xf numFmtId="0" fontId="0" fillId="7" borderId="10" xfId="0" applyFill="1" applyBorder="1"/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9" borderId="19" xfId="0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11" borderId="10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D574-5CA3-4E0A-849A-BC47A6286BC3}">
  <dimension ref="A1:L25"/>
  <sheetViews>
    <sheetView workbookViewId="0">
      <pane xSplit="2" ySplit="2" topLeftCell="C10" activePane="bottomRight" state="frozen"/>
      <selection pane="bottomRight" activeCell="A6" sqref="A6:A24"/>
      <selection pane="bottomLeft"/>
      <selection pane="topRight"/>
    </sheetView>
  </sheetViews>
  <sheetFormatPr defaultColWidth="9.140625" defaultRowHeight="15"/>
  <cols>
    <col min="1" max="1" width="12.7109375" customWidth="1"/>
    <col min="2" max="7" width="25.7109375" customWidth="1"/>
    <col min="8" max="8" width="33" customWidth="1"/>
    <col min="9" max="9" width="25.7109375" customWidth="1"/>
  </cols>
  <sheetData>
    <row r="1" spans="1:12" ht="30" customHeight="1">
      <c r="A1" s="6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12" ht="90" customHeight="1">
      <c r="A2" s="3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</row>
    <row r="3" spans="1:12">
      <c r="A3" s="4" t="s">
        <v>17</v>
      </c>
      <c r="B3" s="2">
        <v>0</v>
      </c>
      <c r="C3" s="2">
        <f>B3+1</f>
        <v>1</v>
      </c>
      <c r="D3" s="2">
        <f>B3*5</f>
        <v>0</v>
      </c>
      <c r="E3" s="2">
        <f>D3+1</f>
        <v>1</v>
      </c>
      <c r="F3" s="2">
        <f>B3*7</f>
        <v>0</v>
      </c>
      <c r="G3" s="2">
        <f>B3*7+3</f>
        <v>3</v>
      </c>
      <c r="H3" s="10">
        <f>B3*7+3</f>
        <v>3</v>
      </c>
      <c r="I3" s="2">
        <f>$B3*10.25+3</f>
        <v>3</v>
      </c>
      <c r="K3" s="12" t="s">
        <v>18</v>
      </c>
      <c r="L3" s="12">
        <v>3</v>
      </c>
    </row>
    <row r="4" spans="1:12">
      <c r="A4" s="9"/>
      <c r="B4" s="1">
        <v>7.0000000000000005E-8</v>
      </c>
      <c r="C4" s="8">
        <f>B4+1</f>
        <v>1.00000007</v>
      </c>
      <c r="D4" s="1">
        <f>B4*5</f>
        <v>3.5000000000000004E-7</v>
      </c>
      <c r="E4" s="8">
        <f>D4+1</f>
        <v>1.0000003500000001</v>
      </c>
      <c r="F4" s="8">
        <f>B4*7</f>
        <v>4.9000000000000007E-7</v>
      </c>
      <c r="G4" s="8">
        <f>B4*7+3</f>
        <v>3.0000004900000001</v>
      </c>
      <c r="H4" s="11">
        <f>B4*7+3</f>
        <v>3.0000004900000001</v>
      </c>
      <c r="I4" s="8">
        <f>$B4*10.25+3</f>
        <v>3.0000007174999999</v>
      </c>
      <c r="K4" s="12" t="s">
        <v>19</v>
      </c>
      <c r="L4" s="12">
        <v>10</v>
      </c>
    </row>
    <row r="5" spans="1:12">
      <c r="A5" s="9"/>
      <c r="B5" s="1">
        <v>0.08</v>
      </c>
      <c r="C5" s="8">
        <f>B5+1</f>
        <v>1.08</v>
      </c>
      <c r="D5" s="1">
        <f>B5*5</f>
        <v>0.4</v>
      </c>
      <c r="E5" s="8">
        <f>D5+1</f>
        <v>1.4</v>
      </c>
      <c r="F5" s="8">
        <f>B5*7</f>
        <v>0.56000000000000005</v>
      </c>
      <c r="G5" s="8">
        <f>B5*7+3</f>
        <v>3.56</v>
      </c>
      <c r="H5" s="11">
        <f>B5*7+3</f>
        <v>3.56</v>
      </c>
      <c r="I5" s="8">
        <f>$B5*10.25+3</f>
        <v>3.8200000000000003</v>
      </c>
      <c r="K5" s="12" t="s">
        <v>20</v>
      </c>
      <c r="L5" s="12">
        <v>7</v>
      </c>
    </row>
    <row r="6" spans="1:12" ht="15" customHeight="1">
      <c r="A6" s="18" t="s">
        <v>21</v>
      </c>
      <c r="B6" s="1">
        <v>0.1</v>
      </c>
      <c r="C6" s="8">
        <f>B6+1</f>
        <v>1.1000000000000001</v>
      </c>
      <c r="D6" s="1">
        <f>B6*5</f>
        <v>0.5</v>
      </c>
      <c r="E6" s="8">
        <f>D6+1</f>
        <v>1.5</v>
      </c>
      <c r="F6" s="8">
        <f>B6*7</f>
        <v>0.70000000000000007</v>
      </c>
      <c r="G6" s="8">
        <f>B6*7+3</f>
        <v>3.7</v>
      </c>
      <c r="H6" s="11">
        <f>B6*7+3</f>
        <v>3.7</v>
      </c>
      <c r="I6" s="8">
        <f>$B6*10.25+3</f>
        <v>4.0250000000000004</v>
      </c>
    </row>
    <row r="7" spans="1:12" ht="15" customHeight="1">
      <c r="A7" s="19"/>
      <c r="B7" s="1">
        <v>0.01</v>
      </c>
      <c r="C7" s="8">
        <f>B7+1</f>
        <v>1.01</v>
      </c>
      <c r="D7" s="1">
        <f>B7*5</f>
        <v>0.05</v>
      </c>
      <c r="E7" s="8">
        <f>D7+1</f>
        <v>1.05</v>
      </c>
      <c r="F7" s="8">
        <f>B7*7</f>
        <v>7.0000000000000007E-2</v>
      </c>
      <c r="G7" s="8">
        <f>B7*7+3</f>
        <v>3.07</v>
      </c>
      <c r="H7" s="11">
        <f>B7*7+3</f>
        <v>3.07</v>
      </c>
      <c r="I7" s="8">
        <f>$B7*10.25+3</f>
        <v>3.1025</v>
      </c>
    </row>
    <row r="8" spans="1:12">
      <c r="A8" s="19"/>
      <c r="B8" s="1">
        <v>0.15</v>
      </c>
      <c r="C8" s="8">
        <f>B8+1</f>
        <v>1.1499999999999999</v>
      </c>
      <c r="D8" s="1">
        <f>B8*5</f>
        <v>0.75</v>
      </c>
      <c r="E8" s="8">
        <f>D8+1</f>
        <v>1.75</v>
      </c>
      <c r="F8" s="8">
        <f>B8*7</f>
        <v>1.05</v>
      </c>
      <c r="G8" s="8">
        <f>B8*7+3</f>
        <v>4.05</v>
      </c>
      <c r="H8" s="11">
        <f>B8*7+3</f>
        <v>4.05</v>
      </c>
      <c r="I8" s="8">
        <f>$B8*10.25+3</f>
        <v>4.5374999999999996</v>
      </c>
    </row>
    <row r="9" spans="1:12">
      <c r="A9" s="19"/>
      <c r="B9" s="1">
        <v>0.2</v>
      </c>
      <c r="C9" s="8">
        <f>B9+1</f>
        <v>1.2</v>
      </c>
      <c r="D9" s="1">
        <f>B9*5</f>
        <v>1</v>
      </c>
      <c r="E9" s="8">
        <f>D9+1</f>
        <v>2</v>
      </c>
      <c r="F9" s="8">
        <f>B9*7</f>
        <v>1.4000000000000001</v>
      </c>
      <c r="G9" s="8">
        <f>B9*7+3</f>
        <v>4.4000000000000004</v>
      </c>
      <c r="H9" s="11">
        <f>B9*7+3</f>
        <v>4.4000000000000004</v>
      </c>
      <c r="I9" s="8">
        <f>$B9*10.25+3</f>
        <v>5.0500000000000007</v>
      </c>
    </row>
    <row r="10" spans="1:12">
      <c r="A10" s="19"/>
      <c r="B10" s="1">
        <v>0.25009999999999999</v>
      </c>
      <c r="C10" s="8">
        <f>B10+1</f>
        <v>1.2501</v>
      </c>
      <c r="D10" s="1">
        <f>B10*5</f>
        <v>1.2504999999999999</v>
      </c>
      <c r="E10" s="8">
        <f>D10+1</f>
        <v>2.2504999999999997</v>
      </c>
      <c r="F10" s="8">
        <f>B10*7</f>
        <v>1.7506999999999999</v>
      </c>
      <c r="G10" s="8">
        <f>B10*7+3</f>
        <v>4.7507000000000001</v>
      </c>
      <c r="H10" s="11">
        <f>B10*7+3</f>
        <v>4.7507000000000001</v>
      </c>
      <c r="I10" s="8">
        <f>$B10*10.25+3</f>
        <v>5.5635250000000003</v>
      </c>
    </row>
    <row r="11" spans="1:12">
      <c r="A11" s="19"/>
      <c r="B11" s="1">
        <v>0.3</v>
      </c>
      <c r="C11" s="8">
        <f>B11+1</f>
        <v>1.3</v>
      </c>
      <c r="D11" s="1">
        <f>B11*5</f>
        <v>1.5</v>
      </c>
      <c r="E11" s="8">
        <f>D11+1</f>
        <v>2.5</v>
      </c>
      <c r="F11" s="8">
        <f>B11*7</f>
        <v>2.1</v>
      </c>
      <c r="G11" s="8">
        <f>B11*7+3</f>
        <v>5.0999999999999996</v>
      </c>
      <c r="H11" s="11">
        <f>B11*7+3</f>
        <v>5.0999999999999996</v>
      </c>
      <c r="I11" s="8">
        <f>$B11*10.25+3</f>
        <v>6.0749999999999993</v>
      </c>
    </row>
    <row r="12" spans="1:12">
      <c r="A12" s="19"/>
      <c r="B12" s="1">
        <v>0.3599</v>
      </c>
      <c r="C12" s="8">
        <f>B12+1</f>
        <v>1.3599000000000001</v>
      </c>
      <c r="D12" s="1">
        <f>B12*5</f>
        <v>1.7995000000000001</v>
      </c>
      <c r="E12" s="8">
        <f>D12+1</f>
        <v>2.7995000000000001</v>
      </c>
      <c r="F12" s="8">
        <f>B12*7</f>
        <v>2.5192999999999999</v>
      </c>
      <c r="G12" s="8">
        <f>B12*7+3</f>
        <v>5.5192999999999994</v>
      </c>
      <c r="H12" s="11">
        <f>B12*7+3</f>
        <v>5.5192999999999994</v>
      </c>
      <c r="I12" s="8">
        <f>$B12*10.25+3</f>
        <v>6.6889750000000001</v>
      </c>
    </row>
    <row r="13" spans="1:12">
      <c r="A13" s="19"/>
      <c r="B13" s="1">
        <v>0.4</v>
      </c>
      <c r="C13" s="8">
        <f>B13+1</f>
        <v>1.4</v>
      </c>
      <c r="D13" s="1">
        <f>B13*5</f>
        <v>2</v>
      </c>
      <c r="E13" s="8">
        <f>D13+1</f>
        <v>3</v>
      </c>
      <c r="F13" s="8">
        <f>B13*7</f>
        <v>2.8000000000000003</v>
      </c>
      <c r="G13" s="8">
        <f>B13*7+3</f>
        <v>5.8000000000000007</v>
      </c>
      <c r="H13" s="11">
        <f>B13*7+3</f>
        <v>5.8000000000000007</v>
      </c>
      <c r="I13" s="8">
        <f>$B13*10.25+3</f>
        <v>7.1000000000000005</v>
      </c>
    </row>
    <row r="14" spans="1:12">
      <c r="A14" s="19"/>
      <c r="B14" s="1">
        <v>0.46600000000000003</v>
      </c>
      <c r="C14" s="8">
        <f>B14+1</f>
        <v>1.466</v>
      </c>
      <c r="D14" s="1">
        <f>B14*5</f>
        <v>2.33</v>
      </c>
      <c r="E14" s="8">
        <f>D14+1</f>
        <v>3.33</v>
      </c>
      <c r="F14" s="8">
        <f>B14*7</f>
        <v>3.262</v>
      </c>
      <c r="G14" s="8">
        <f>B14*7+3</f>
        <v>6.2620000000000005</v>
      </c>
      <c r="H14" s="11">
        <f>B14*7+3</f>
        <v>6.2620000000000005</v>
      </c>
      <c r="I14" s="8">
        <f>$B14*10.25+3</f>
        <v>7.7765000000000004</v>
      </c>
    </row>
    <row r="15" spans="1:12">
      <c r="A15" s="19"/>
      <c r="B15" s="1">
        <v>0.5</v>
      </c>
      <c r="C15" s="8">
        <f>B15+1</f>
        <v>1.5</v>
      </c>
      <c r="D15" s="1">
        <f>B15*5</f>
        <v>2.5</v>
      </c>
      <c r="E15" s="8">
        <f>D15+1</f>
        <v>3.5</v>
      </c>
      <c r="F15" s="8">
        <f>B15*7</f>
        <v>3.5</v>
      </c>
      <c r="G15" s="8">
        <f>B15*7+3</f>
        <v>6.5</v>
      </c>
      <c r="H15" s="11">
        <f>B15*7+3</f>
        <v>6.5</v>
      </c>
      <c r="I15" s="8">
        <f>$B15*10.25+3</f>
        <v>8.125</v>
      </c>
    </row>
    <row r="16" spans="1:12" ht="15" customHeight="1">
      <c r="A16" s="19"/>
      <c r="B16" s="1">
        <v>0.55000000000000004</v>
      </c>
      <c r="C16" s="8">
        <f>B16+1</f>
        <v>1.55</v>
      </c>
      <c r="D16" s="1">
        <f>B16*5</f>
        <v>2.75</v>
      </c>
      <c r="E16" s="8">
        <f>D16+1</f>
        <v>3.75</v>
      </c>
      <c r="F16" s="8">
        <f>B16*7</f>
        <v>3.8500000000000005</v>
      </c>
      <c r="G16" s="8">
        <f>B16*7+3</f>
        <v>6.8500000000000005</v>
      </c>
      <c r="H16" s="11">
        <f>B16*7+3</f>
        <v>6.8500000000000005</v>
      </c>
      <c r="I16" s="8">
        <f>$B16*10.25+3</f>
        <v>8.6374999999999993</v>
      </c>
    </row>
    <row r="17" spans="1:9">
      <c r="A17" s="19"/>
      <c r="B17" s="1">
        <v>0.6</v>
      </c>
      <c r="C17" s="8">
        <f>B17+1</f>
        <v>1.6</v>
      </c>
      <c r="D17" s="1">
        <f>B17*5</f>
        <v>3</v>
      </c>
      <c r="E17" s="8">
        <f>D17+1</f>
        <v>4</v>
      </c>
      <c r="F17" s="8">
        <f>B17*7</f>
        <v>4.2</v>
      </c>
      <c r="G17" s="8">
        <f>B17*7+3</f>
        <v>7.2</v>
      </c>
      <c r="H17" s="11">
        <f>B17*7+3</f>
        <v>7.2</v>
      </c>
      <c r="I17" s="8">
        <f>$B17*10.25+3</f>
        <v>9.1499999999999986</v>
      </c>
    </row>
    <row r="18" spans="1:9">
      <c r="A18" s="19"/>
      <c r="B18" s="1">
        <v>0.65798000000000001</v>
      </c>
      <c r="C18" s="8">
        <f>B18+1</f>
        <v>1.65798</v>
      </c>
      <c r="D18" s="1">
        <f>B18*5</f>
        <v>3.2899000000000003</v>
      </c>
      <c r="E18" s="8">
        <f>D18+1</f>
        <v>4.2899000000000003</v>
      </c>
      <c r="F18" s="8">
        <f>B18*7</f>
        <v>4.6058599999999998</v>
      </c>
      <c r="G18" s="8">
        <f>B18*7+3</f>
        <v>7.6058599999999998</v>
      </c>
      <c r="H18" s="11">
        <f>B18*7+3</f>
        <v>7.6058599999999998</v>
      </c>
      <c r="I18" s="8">
        <f>$B18*10.25+3</f>
        <v>9.744295000000001</v>
      </c>
    </row>
    <row r="19" spans="1:9">
      <c r="A19" s="19"/>
      <c r="B19" s="1">
        <v>0.7</v>
      </c>
      <c r="C19" s="8">
        <f>B19+1</f>
        <v>1.7</v>
      </c>
      <c r="D19" s="1">
        <f>B19*5</f>
        <v>3.5</v>
      </c>
      <c r="E19" s="8">
        <f>D19+1</f>
        <v>4.5</v>
      </c>
      <c r="F19" s="8">
        <f>B19*7</f>
        <v>4.8999999999999995</v>
      </c>
      <c r="G19" s="8">
        <f>B19*7+3</f>
        <v>7.8999999999999995</v>
      </c>
      <c r="H19" s="11">
        <f>B19*7+3</f>
        <v>7.8999999999999995</v>
      </c>
      <c r="I19" s="8">
        <f>$B19*10.25+3</f>
        <v>10.175000000000001</v>
      </c>
    </row>
    <row r="20" spans="1:9">
      <c r="A20" s="19"/>
      <c r="B20" s="1">
        <v>0.75780000000000003</v>
      </c>
      <c r="C20" s="8">
        <f>B20+1</f>
        <v>1.7578</v>
      </c>
      <c r="D20" s="1">
        <f>B20*5</f>
        <v>3.7890000000000001</v>
      </c>
      <c r="E20" s="8">
        <f>D20+1</f>
        <v>4.7889999999999997</v>
      </c>
      <c r="F20" s="8">
        <f>B20*7</f>
        <v>5.3046000000000006</v>
      </c>
      <c r="G20" s="8">
        <f>B20*7+3</f>
        <v>8.3046000000000006</v>
      </c>
      <c r="H20" s="11">
        <f>B20*7+3</f>
        <v>8.3046000000000006</v>
      </c>
      <c r="I20" s="8">
        <f>$B20*10.25+3</f>
        <v>10.76745</v>
      </c>
    </row>
    <row r="21" spans="1:9">
      <c r="A21" s="19"/>
      <c r="B21" s="1">
        <v>0.8</v>
      </c>
      <c r="C21" s="8">
        <f>B21+1</f>
        <v>1.8</v>
      </c>
      <c r="D21" s="1">
        <f>B21*5</f>
        <v>4</v>
      </c>
      <c r="E21" s="8">
        <f>D21+1</f>
        <v>5</v>
      </c>
      <c r="F21" s="8">
        <f>B21*7</f>
        <v>5.6000000000000005</v>
      </c>
      <c r="G21" s="8">
        <f>B21*7+3</f>
        <v>8.6000000000000014</v>
      </c>
      <c r="H21" s="11">
        <f>B21*7+3</f>
        <v>8.6000000000000014</v>
      </c>
      <c r="I21" s="8">
        <f>$B21*10.25+3</f>
        <v>11.200000000000001</v>
      </c>
    </row>
    <row r="22" spans="1:9">
      <c r="A22" s="19"/>
      <c r="B22" s="1">
        <v>0.85129999999999995</v>
      </c>
      <c r="C22" s="8">
        <f>B22+1</f>
        <v>1.8512999999999999</v>
      </c>
      <c r="D22" s="1">
        <f>B22*5</f>
        <v>4.2565</v>
      </c>
      <c r="E22" s="8">
        <f>D22+1</f>
        <v>5.2565</v>
      </c>
      <c r="F22" s="8">
        <f>B22*7</f>
        <v>5.9590999999999994</v>
      </c>
      <c r="G22" s="8">
        <f>B22*7+3</f>
        <v>8.9590999999999994</v>
      </c>
      <c r="H22" s="11">
        <f>B22*7+3</f>
        <v>8.9590999999999994</v>
      </c>
      <c r="I22" s="8">
        <f>$B22*10.25+3</f>
        <v>11.725824999999999</v>
      </c>
    </row>
    <row r="23" spans="1:9">
      <c r="A23" s="19"/>
      <c r="B23" s="1">
        <v>0.9</v>
      </c>
      <c r="C23" s="8">
        <f>B23+1</f>
        <v>1.9</v>
      </c>
      <c r="D23" s="1">
        <f>B23*5</f>
        <v>4.5</v>
      </c>
      <c r="E23" s="8">
        <f>D23+1</f>
        <v>5.5</v>
      </c>
      <c r="F23" s="8">
        <f>B23*7</f>
        <v>6.3</v>
      </c>
      <c r="G23" s="8">
        <f>B23*7+3</f>
        <v>9.3000000000000007</v>
      </c>
      <c r="H23" s="11">
        <f>B23*7+3</f>
        <v>9.3000000000000007</v>
      </c>
      <c r="I23" s="8">
        <f>$B23*10.25+3</f>
        <v>12.225</v>
      </c>
    </row>
    <row r="24" spans="1:9">
      <c r="A24" s="20"/>
      <c r="B24" s="1">
        <v>0.95</v>
      </c>
      <c r="C24" s="8">
        <f>B24+1</f>
        <v>1.95</v>
      </c>
      <c r="D24" s="1">
        <f>B24*5</f>
        <v>4.75</v>
      </c>
      <c r="E24" s="8">
        <f>D24+1</f>
        <v>5.75</v>
      </c>
      <c r="F24" s="8">
        <f>B24*7</f>
        <v>6.6499999999999995</v>
      </c>
      <c r="G24" s="8">
        <f>B24*7+3</f>
        <v>9.6499999999999986</v>
      </c>
      <c r="H24" s="11">
        <f>B24*7+3</f>
        <v>9.6499999999999986</v>
      </c>
      <c r="I24" s="8">
        <f>$B24*10.25+3</f>
        <v>12.737499999999999</v>
      </c>
    </row>
    <row r="25" spans="1:9">
      <c r="A25" s="4" t="s">
        <v>22</v>
      </c>
      <c r="B25" s="2">
        <v>0.99999999900000003</v>
      </c>
      <c r="C25" s="2">
        <f>B25+1</f>
        <v>1.9999999989999999</v>
      </c>
      <c r="D25" s="2">
        <f>B25*5</f>
        <v>4.9999999950000005</v>
      </c>
      <c r="E25" s="2">
        <f>D25+1</f>
        <v>5.9999999950000005</v>
      </c>
      <c r="F25" s="2">
        <f>B25*7</f>
        <v>6.9999999930000003</v>
      </c>
      <c r="G25" s="2">
        <f>B25*7+3</f>
        <v>9.9999999929999994</v>
      </c>
      <c r="H25" s="10">
        <f>B25*7+3</f>
        <v>9.9999999929999994</v>
      </c>
      <c r="I25" s="2">
        <f>$B25*10.25+3</f>
        <v>13.24999998975</v>
      </c>
    </row>
  </sheetData>
  <mergeCells count="1">
    <mergeCell ref="A6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15B4-7696-42B4-96CE-4BF33F53CBFC}">
  <dimension ref="A1:S23"/>
  <sheetViews>
    <sheetView tabSelected="1" workbookViewId="0">
      <selection activeCell="C1" sqref="C1:C1048576"/>
    </sheetView>
  </sheetViews>
  <sheetFormatPr defaultRowHeight="15"/>
  <cols>
    <col min="1" max="1" width="21.5703125" bestFit="1" customWidth="1"/>
    <col min="2" max="2" width="17.28515625" bestFit="1" customWidth="1"/>
    <col min="3" max="3" width="1" customWidth="1"/>
    <col min="16" max="16" width="7.7109375" customWidth="1"/>
    <col min="19" max="19" width="20.7109375" customWidth="1"/>
  </cols>
  <sheetData>
    <row r="1" spans="1:19">
      <c r="A1" s="32" t="s">
        <v>23</v>
      </c>
      <c r="B1" s="33" t="s">
        <v>8</v>
      </c>
      <c r="C1" s="34" t="s">
        <v>24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6"/>
    </row>
    <row r="2" spans="1:19">
      <c r="A2" s="12" t="s">
        <v>0</v>
      </c>
      <c r="B2" s="43" t="s">
        <v>25</v>
      </c>
      <c r="C2" s="37"/>
      <c r="D2" s="28"/>
      <c r="E2" s="44">
        <v>0</v>
      </c>
      <c r="F2" s="44">
        <v>0.5</v>
      </c>
      <c r="G2" s="44">
        <v>0.99</v>
      </c>
      <c r="H2" s="28" t="s">
        <v>26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38"/>
    </row>
    <row r="3" spans="1:19">
      <c r="A3" s="12" t="s">
        <v>1</v>
      </c>
      <c r="B3" s="43" t="s">
        <v>27</v>
      </c>
      <c r="C3" s="37"/>
      <c r="D3" s="28" t="s">
        <v>28</v>
      </c>
      <c r="E3" s="28"/>
      <c r="F3" s="29">
        <v>1</v>
      </c>
      <c r="G3" s="29">
        <v>1.5</v>
      </c>
      <c r="H3" s="29">
        <v>1.99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38"/>
    </row>
    <row r="4" spans="1:19">
      <c r="A4" s="12" t="s">
        <v>29</v>
      </c>
      <c r="B4" s="43" t="s">
        <v>30</v>
      </c>
      <c r="C4" s="37"/>
      <c r="D4" s="28"/>
      <c r="E4" s="30">
        <v>0</v>
      </c>
      <c r="F4" s="30">
        <v>0.5</v>
      </c>
      <c r="G4" s="30">
        <v>0.99</v>
      </c>
      <c r="H4" s="30">
        <v>1.99</v>
      </c>
      <c r="I4" s="30">
        <v>2.99</v>
      </c>
      <c r="J4" s="30">
        <v>3.99</v>
      </c>
      <c r="K4" s="30">
        <v>4.99</v>
      </c>
      <c r="L4" s="30">
        <v>5.99</v>
      </c>
      <c r="M4" s="30">
        <v>6.99</v>
      </c>
      <c r="N4" s="30">
        <v>7.99</v>
      </c>
      <c r="O4" s="30">
        <v>8.99</v>
      </c>
      <c r="P4" s="30">
        <v>9.99</v>
      </c>
      <c r="Q4" s="28" t="s">
        <v>31</v>
      </c>
      <c r="R4" s="28"/>
      <c r="S4" s="38"/>
    </row>
    <row r="5" spans="1:19">
      <c r="A5" s="12" t="s">
        <v>32</v>
      </c>
      <c r="B5" s="43" t="s">
        <v>33</v>
      </c>
      <c r="C5" s="37"/>
      <c r="D5" s="28"/>
      <c r="E5" s="28" t="s">
        <v>34</v>
      </c>
      <c r="F5" s="28"/>
      <c r="G5" s="31">
        <v>0</v>
      </c>
      <c r="H5" s="31">
        <v>0.5</v>
      </c>
      <c r="I5" s="31">
        <v>0.99</v>
      </c>
      <c r="J5" s="31">
        <v>1.99</v>
      </c>
      <c r="K5" s="31">
        <v>2.99</v>
      </c>
      <c r="L5" s="31">
        <v>3.99</v>
      </c>
      <c r="M5" s="31">
        <v>4.99</v>
      </c>
      <c r="N5" s="31">
        <v>5.99</v>
      </c>
      <c r="O5" s="31">
        <v>6.99</v>
      </c>
      <c r="P5" s="31">
        <v>7.99</v>
      </c>
      <c r="Q5" s="31">
        <v>8.99</v>
      </c>
      <c r="R5" s="31">
        <v>9.99</v>
      </c>
      <c r="S5" s="38" t="s">
        <v>31</v>
      </c>
    </row>
    <row r="6" spans="1:19">
      <c r="A6" s="12" t="s">
        <v>35</v>
      </c>
      <c r="B6" s="43" t="s">
        <v>36</v>
      </c>
      <c r="C6" s="39"/>
      <c r="D6" s="40">
        <v>-1</v>
      </c>
      <c r="E6" s="40">
        <v>-0.5</v>
      </c>
      <c r="F6" s="40">
        <v>-0.01</v>
      </c>
      <c r="G6" s="40">
        <v>0.99</v>
      </c>
      <c r="H6" s="40">
        <v>1.99</v>
      </c>
      <c r="I6" s="40">
        <v>2.99</v>
      </c>
      <c r="J6" s="40">
        <v>3.99</v>
      </c>
      <c r="K6" s="40">
        <v>4.99</v>
      </c>
      <c r="L6" s="40">
        <v>5.99</v>
      </c>
      <c r="M6" s="40">
        <v>6.99</v>
      </c>
      <c r="N6" s="40">
        <v>7.99</v>
      </c>
      <c r="O6" s="40">
        <v>8.99</v>
      </c>
      <c r="P6" s="41" t="s">
        <v>37</v>
      </c>
      <c r="Q6" s="41"/>
      <c r="R6" s="41"/>
      <c r="S6" s="42"/>
    </row>
    <row r="23" hidden="1"/>
  </sheetData>
  <mergeCells count="1">
    <mergeCell ref="C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DC17-EA15-478B-BB15-73DCE428E433}">
  <dimension ref="A1:E7"/>
  <sheetViews>
    <sheetView workbookViewId="0">
      <selection activeCell="A2" sqref="A2"/>
    </sheetView>
  </sheetViews>
  <sheetFormatPr defaultRowHeight="15"/>
  <cols>
    <col min="1" max="1" width="25.28515625" bestFit="1" customWidth="1"/>
    <col min="2" max="5" width="24.85546875" customWidth="1"/>
  </cols>
  <sheetData>
    <row r="1" spans="1:5">
      <c r="B1" s="21" t="s">
        <v>38</v>
      </c>
      <c r="C1" s="22"/>
      <c r="D1" s="22"/>
      <c r="E1" s="23"/>
    </row>
    <row r="2" spans="1:5">
      <c r="A2" s="25" t="s">
        <v>39</v>
      </c>
      <c r="B2" s="14">
        <v>1</v>
      </c>
      <c r="C2" s="14">
        <v>2</v>
      </c>
      <c r="D2" s="14">
        <v>3</v>
      </c>
      <c r="E2" s="14">
        <v>4</v>
      </c>
    </row>
    <row r="3" spans="1:5">
      <c r="A3" s="25" t="s">
        <v>40</v>
      </c>
      <c r="B3" s="15" t="s">
        <v>41</v>
      </c>
      <c r="C3" s="15" t="s">
        <v>42</v>
      </c>
      <c r="D3" s="15" t="s">
        <v>43</v>
      </c>
      <c r="E3" s="15" t="s">
        <v>44</v>
      </c>
    </row>
    <row r="4" spans="1:5">
      <c r="A4" s="25" t="s">
        <v>45</v>
      </c>
      <c r="B4" s="13" t="s">
        <v>46</v>
      </c>
      <c r="C4" s="13" t="s">
        <v>47</v>
      </c>
      <c r="D4" s="13" t="s">
        <v>47</v>
      </c>
      <c r="E4" s="13" t="s">
        <v>48</v>
      </c>
    </row>
    <row r="5" spans="1:5">
      <c r="B5" s="24" t="s">
        <v>49</v>
      </c>
      <c r="C5" s="24"/>
      <c r="D5" s="24"/>
      <c r="E5" s="24"/>
    </row>
    <row r="6" spans="1:5">
      <c r="B6" s="16" t="s">
        <v>50</v>
      </c>
      <c r="C6" s="17"/>
      <c r="D6" s="17"/>
      <c r="E6" s="17"/>
    </row>
    <row r="7" spans="1:5">
      <c r="B7" s="26" t="s">
        <v>51</v>
      </c>
      <c r="C7" s="27"/>
      <c r="D7" s="27"/>
      <c r="E7" s="27"/>
    </row>
  </sheetData>
  <mergeCells count="4">
    <mergeCell ref="B6:E6"/>
    <mergeCell ref="B1:E1"/>
    <mergeCell ref="B5:E5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2023-05-16T17:14:19Z</dcterms:created>
  <dcterms:modified xsi:type="dcterms:W3CDTF">2025-11-17T20:07:15Z</dcterms:modified>
  <cp:category/>
  <cp:contentStatus/>
</cp:coreProperties>
</file>